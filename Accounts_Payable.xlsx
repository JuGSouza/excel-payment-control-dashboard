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na\Desktop\linkedin\"/>
    </mc:Choice>
  </mc:AlternateContent>
  <xr:revisionPtr revIDLastSave="0" documentId="8_{55DCEB01-1C76-4A20-8A0D-E9863726AE29}" xr6:coauthVersionLast="47" xr6:coauthVersionMax="47" xr10:uidLastSave="{00000000-0000-0000-0000-000000000000}"/>
  <bookViews>
    <workbookView xWindow="-108" yWindow="-108" windowWidth="23256" windowHeight="12456" xr2:uid="{1EA73BE3-3350-44EC-86EB-D4284CEBBC60}"/>
  </bookViews>
  <sheets>
    <sheet name="tbl_payments" sheetId="2" r:id="rId1"/>
    <sheet name="Summary" sheetId="1" r:id="rId2"/>
  </sheets>
  <definedNames>
    <definedName name="ExternalData_1" localSheetId="0" hidden="1">tbl_payments!$A$1:$H$1</definedName>
  </definedNames>
  <calcPr calcId="191029"/>
  <pivotCaches>
    <pivotCache cacheId="9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" l="1"/>
  <c r="I9" i="2"/>
  <c r="I8" i="2"/>
  <c r="I7" i="2"/>
  <c r="I2" i="2"/>
  <c r="I3" i="2"/>
  <c r="I4" i="2"/>
  <c r="I5" i="2"/>
  <c r="I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42633-983A-4D26-8B6F-CDA8EBFD0280}" keepAlive="1" name="Query - tbl_payments" description="Connection to the 'tbl_payments' query in the workbook." type="5" refreshedVersion="8" background="1" saveData="1">
    <dbPr connection="Provider=Microsoft.Mashup.OleDb.1;Data Source=$Workbook$;Location=tbl_payments;Extended Properties=&quot;&quot;" command="SELECT * FROM [tbl_payments]"/>
  </connection>
</connections>
</file>

<file path=xl/sharedStrings.xml><?xml version="1.0" encoding="utf-8"?>
<sst xmlns="http://schemas.openxmlformats.org/spreadsheetml/2006/main" count="50" uniqueCount="37">
  <si>
    <t>Invoice_ID</t>
  </si>
  <si>
    <t>Supplier</t>
  </si>
  <si>
    <t>Category</t>
  </si>
  <si>
    <t>Description</t>
  </si>
  <si>
    <t>Due_Date</t>
  </si>
  <si>
    <t>Amount</t>
  </si>
  <si>
    <t>Status</t>
  </si>
  <si>
    <t>Payment_Date</t>
  </si>
  <si>
    <t>Overdue_Check</t>
  </si>
  <si>
    <t>Row Labels</t>
  </si>
  <si>
    <t>Grand Total</t>
  </si>
  <si>
    <t>Sum of Amount</t>
  </si>
  <si>
    <t>Office Supplies Co</t>
  </si>
  <si>
    <t>Office</t>
  </si>
  <si>
    <t>Printer Paper</t>
  </si>
  <si>
    <t>Paid</t>
  </si>
  <si>
    <t>Internet Provider</t>
  </si>
  <si>
    <t>Utilities</t>
  </si>
  <si>
    <t>Monthly Internet</t>
  </si>
  <si>
    <t>Pending</t>
  </si>
  <si>
    <t>Cleaning Services</t>
  </si>
  <si>
    <t>Maintenance</t>
  </si>
  <si>
    <t>Office Cleaning</t>
  </si>
  <si>
    <t>Electricity Company</t>
  </si>
  <si>
    <t>Electricity Bill</t>
  </si>
  <si>
    <t>Software Vendor</t>
  </si>
  <si>
    <t>Software</t>
  </si>
  <si>
    <t>Accounting Software</t>
  </si>
  <si>
    <t>Water Company</t>
  </si>
  <si>
    <t>Office Water Supply</t>
  </si>
  <si>
    <t>Marketing Agency</t>
  </si>
  <si>
    <t>Marketing</t>
  </si>
  <si>
    <t>Social Media Campaign</t>
  </si>
  <si>
    <t>Office Depot</t>
  </si>
  <si>
    <t>Office Chairs</t>
  </si>
  <si>
    <t>Cloud Services</t>
  </si>
  <si>
    <t>Cloud Storage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</si>
</sst>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7">
    <dxf>
      <font>
        <color theme="0"/>
      </font>
      <fill>
        <patternFill>
          <bgColor rgb="FFFF4B4B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FF6D4B"/>
      </font>
    </dxf>
    <dxf>
      <font>
        <color rgb="FFFF6D4B"/>
      </font>
    </dxf>
    <dxf>
      <numFmt numFmtId="0" formatCode="General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4B4B"/>
      <color rgb="FFFF6D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[Accounts_Payable.xlsx]Summary!PivotTable1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Summary!$A$4:$A$6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2"/>
                <c:pt idx="0">
                  <c:v>320</c:v>
                </c:pt>
                <c:pt idx="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F-4051-9BF4-3A443677A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400665</xdr:colOff>
      <xdr:row>2</xdr:row>
      <xdr:rowOff>162231</xdr:rowOff>
    </xdr:from>
    <xdr:to>
      <xdr:col>9</xdr:col>
      <xdr:colOff>228600</xdr:colOff>
      <xdr:row>17</xdr:row>
      <xdr:rowOff>176980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1487B-EC47-E5AF-4F02-EFD003DC6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a" refreshedDate="46085.59307372685" createdVersion="8" refreshedVersion="8" minRefreshableVersion="3" recordCount="5" xr:uid="{0D30475E-47A4-4D44-B6DB-10DAC6B66343}">
  <cacheSource type="worksheet">
    <worksheetSource name="tbl_payments_1"/>
  </cacheSource>
  <cacheFields count="9">
    <cacheField name="Invoice_ID" numFmtId="0">
      <sharedItems containsSemiMixedTypes="0" containsString="0" containsNumber="1" containsInteger="1" minValue="1001" maxValue="1005"/>
    </cacheField>
    <cacheField name="Supplier" numFmtId="0">
      <sharedItems/>
    </cacheField>
    <cacheField name="Category" numFmtId="0">
      <sharedItems/>
    </cacheField>
    <cacheField name="Description" numFmtId="0">
      <sharedItems/>
    </cacheField>
    <cacheField name="Due_Date" numFmtId="14">
      <sharedItems containsSemiMixedTypes="0" containsNonDate="0" containsDate="1" containsString="0" minDate="2026-03-05T00:00:00" maxDate="2026-03-26T00:00:00"/>
    </cacheField>
    <cacheField name="Amount" numFmtId="0">
      <sharedItems containsSemiMixedTypes="0" containsString="0" containsNumber="1" containsInteger="1" minValue="60" maxValue="200"/>
    </cacheField>
    <cacheField name="Status" numFmtId="0">
      <sharedItems containsBlank="1" count="3">
        <s v="Paid"/>
        <s v="Pending"/>
        <m u="1"/>
      </sharedItems>
    </cacheField>
    <cacheField name="Payment_Date" numFmtId="0">
      <sharedItems containsNonDate="0" containsDate="1" containsString="0" containsBlank="1" minDate="2026-03-04T00:00:00" maxDate="2026-03-10T00:00:00"/>
    </cacheField>
    <cacheField name="Overdue_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s v="Office Supplies Co"/>
    <s v="Office"/>
    <s v="Printer Paper"/>
    <d v="2026-03-10T00:00:00"/>
    <n v="120"/>
    <x v="0"/>
    <d v="2026-03-09T00:00:00"/>
    <s v=""/>
  </r>
  <r>
    <n v="1002"/>
    <s v="Internet Provider"/>
    <s v="Utilities"/>
    <s v="Monthly Internet"/>
    <d v="2026-03-15T00:00:00"/>
    <n v="80"/>
    <x v="1"/>
    <m/>
    <s v=""/>
  </r>
  <r>
    <n v="1003"/>
    <s v="Cleaning Services"/>
    <s v="Maintenance"/>
    <s v="Office Cleaning"/>
    <d v="2026-03-18T00:00:00"/>
    <n v="150"/>
    <x v="1"/>
    <m/>
    <s v=""/>
  </r>
  <r>
    <n v="1004"/>
    <s v="Electricity Company"/>
    <s v="Utilities"/>
    <s v="Electricity Bill"/>
    <d v="2026-03-05T00:00:00"/>
    <n v="200"/>
    <x v="0"/>
    <d v="2026-03-04T00:00:00"/>
    <s v=""/>
  </r>
  <r>
    <n v="1005"/>
    <s v="Software Vendor"/>
    <s v="Software"/>
    <s v="Accounting Software"/>
    <d v="2026-03-25T00:00:00"/>
    <n v="60"/>
    <x v="1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70347-206F-4117-9448-98628D557B2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4">
        <item m="1" x="2"/>
        <item x="0"/>
        <item x="1"/>
        <item t="default"/>
      </items>
    </pivotField>
    <pivotField showAll="0"/>
    <pivotField showAll="0"/>
  </pivotFields>
  <rowFields count="1">
    <field x="6"/>
  </rowFields>
  <rowItems count="3">
    <i>
      <x v="1"/>
    </i>
    <i>
      <x v="2"/>
    </i>
    <i t="grand">
      <x/>
    </i>
  </rowItems>
  <colItems count="1">
    <i/>
  </colItems>
  <dataFields count="1">
    <dataField name="Sum of Amount" fld="5" baseField="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C9EB22-EFDF-4FD9-B7CC-6CC793C1E1F0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nvoice_ID" tableColumnId="1"/>
      <queryTableField id="2" name="Supplier" tableColumnId="2"/>
      <queryTableField id="3" name="Category" tableColumnId="3"/>
      <queryTableField id="4" name="Description" tableColumnId="4"/>
      <queryTableField id="5" name="Due_Date" tableColumnId="5"/>
      <queryTableField id="6" name="Amount" tableColumnId="6"/>
      <queryTableField id="7" name="Status" tableColumnId="7"/>
      <queryTableField id="8" name="Payment_Date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236ED8-FA22-45FE-BCE1-D5B4C56B4B3A}" name="tbl_payments_1" displayName="tbl_payments_1" ref="A1:I11" tableType="queryTable" totalsRowShown="0">
  <autoFilter ref="A1:I11" xr:uid="{B4236ED8-FA22-45FE-BCE1-D5B4C56B4B3A}"/>
  <tableColumns count="9">
    <tableColumn id="1" xr3:uid="{89CBAD5A-47AD-4F8D-A3A9-FAAAFCCD0949}" uniqueName="1" name="Invoice_ID" queryTableFieldId="1" dataDxfId="16"/>
    <tableColumn id="2" xr3:uid="{59172226-CCF4-49C2-92D3-895D20389D06}" uniqueName="2" name="Supplier" queryTableFieldId="2" dataDxfId="15"/>
    <tableColumn id="3" xr3:uid="{1E0CCC98-8EB1-4C76-984F-44FA1E0D3F7B}" uniqueName="3" name="Category" queryTableFieldId="3" dataDxfId="14"/>
    <tableColumn id="4" xr3:uid="{B74E64EE-82CA-488B-B83C-E2D5BB798AE9}" uniqueName="4" name="Description" queryTableFieldId="4" dataDxfId="13"/>
    <tableColumn id="5" xr3:uid="{6DAA939B-1731-4144-B4B2-29B9552D4CBE}" uniqueName="5" name="Due_Date" queryTableFieldId="5" dataDxfId="12"/>
    <tableColumn id="6" xr3:uid="{8118157B-2EE4-43C5-A5DF-D928597D6DF5}" uniqueName="6" name="Amount" queryTableFieldId="6" dataDxfId="11"/>
    <tableColumn id="7" xr3:uid="{1651DEAE-71FB-462B-B42E-087C9294FB42}" uniqueName="7" name="Status" queryTableFieldId="7" dataDxfId="6"/>
    <tableColumn id="8" xr3:uid="{B8494BB3-E563-4061-ABCC-30E3A1633E45}" uniqueName="8" name="Payment_Date" queryTableFieldId="8" dataDxfId="7"/>
    <tableColumn id="9" xr3:uid="{456D6F82-DF4A-4DC1-8980-76A65EAA04E5}" uniqueName="9" name="Overdue_Check" queryTableFieldId="9" dataDxfId="5">
      <calculatedColumnFormula>IF(AND(G2="Pending",E2&lt;TODAY()),"Overdue","")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0E24-CD66-4792-B573-83409631DB50}">
  <dimension ref="A1:I10"/>
  <sheetViews>
    <sheetView tabSelected="1" topLeftCell="A3" zoomScaleNormal="100" workbookViewId="0">
      <selection activeCell="Q4" sqref="Q4"/>
    </sheetView>
  </sheetViews>
  <sheetFormatPr defaultRowHeight="14.4" x14ac:dyDescent="0.3"/>
  <cols>
    <col min="1" max="1" width="11.77734375" bestFit="1" customWidth="1"/>
    <col min="2" max="2" width="10.33203125" bestFit="1" customWidth="1"/>
    <col min="3" max="3" width="10.5546875" bestFit="1" customWidth="1"/>
    <col min="4" max="4" width="12.88671875" bestFit="1" customWidth="1"/>
    <col min="5" max="5" width="11.109375" bestFit="1" customWidth="1"/>
    <col min="6" max="6" width="9.6640625" bestFit="1" customWidth="1"/>
    <col min="7" max="7" width="8.5546875" bestFit="1" customWidth="1"/>
    <col min="8" max="8" width="1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 s="5">
        <v>1001</v>
      </c>
      <c r="B2" s="5" t="s">
        <v>12</v>
      </c>
      <c r="C2" s="5" t="s">
        <v>13</v>
      </c>
      <c r="D2" s="5" t="s">
        <v>14</v>
      </c>
      <c r="E2" s="6">
        <v>46091</v>
      </c>
      <c r="F2" s="5">
        <v>120</v>
      </c>
      <c r="G2" s="5" t="s">
        <v>15</v>
      </c>
      <c r="H2" s="6">
        <v>46090</v>
      </c>
      <c r="I2" t="str">
        <f ca="1">IF(AND(G2="Pending",E2&lt;TODAY()),"Overdue","")</f>
        <v/>
      </c>
    </row>
    <row r="3" spans="1:9" ht="28.8" x14ac:dyDescent="0.3">
      <c r="A3" s="5">
        <v>1002</v>
      </c>
      <c r="B3" s="5" t="s">
        <v>16</v>
      </c>
      <c r="C3" s="5" t="s">
        <v>17</v>
      </c>
      <c r="D3" s="5" t="s">
        <v>18</v>
      </c>
      <c r="E3" s="6">
        <v>46082</v>
      </c>
      <c r="F3" s="5">
        <v>80</v>
      </c>
      <c r="G3" s="5" t="s">
        <v>19</v>
      </c>
      <c r="H3" s="5"/>
      <c r="I3" t="str">
        <f t="shared" ref="I3:I6" ca="1" si="0">IF(AND(G3="Pending",E3&lt;TODAY()),"Overdue","")</f>
        <v>Overdue</v>
      </c>
    </row>
    <row r="4" spans="1:9" ht="28.8" x14ac:dyDescent="0.3">
      <c r="A4" s="5">
        <v>1003</v>
      </c>
      <c r="B4" s="5" t="s">
        <v>20</v>
      </c>
      <c r="C4" s="5" t="s">
        <v>21</v>
      </c>
      <c r="D4" s="5" t="s">
        <v>22</v>
      </c>
      <c r="E4" s="6">
        <v>46099</v>
      </c>
      <c r="F4" s="5">
        <v>150</v>
      </c>
      <c r="G4" s="5" t="s">
        <v>19</v>
      </c>
      <c r="H4" s="5"/>
      <c r="I4" t="str">
        <f t="shared" ca="1" si="0"/>
        <v/>
      </c>
    </row>
    <row r="5" spans="1:9" ht="28.8" x14ac:dyDescent="0.3">
      <c r="A5" s="5">
        <v>1004</v>
      </c>
      <c r="B5" s="5" t="s">
        <v>23</v>
      </c>
      <c r="C5" s="5" t="s">
        <v>17</v>
      </c>
      <c r="D5" s="5" t="s">
        <v>24</v>
      </c>
      <c r="E5" s="6">
        <v>46086</v>
      </c>
      <c r="F5" s="5">
        <v>200</v>
      </c>
      <c r="G5" s="5" t="s">
        <v>15</v>
      </c>
      <c r="H5" s="6">
        <v>46085</v>
      </c>
      <c r="I5" t="str">
        <f t="shared" ca="1" si="0"/>
        <v/>
      </c>
    </row>
    <row r="6" spans="1:9" ht="28.8" x14ac:dyDescent="0.3">
      <c r="A6" s="5">
        <v>1005</v>
      </c>
      <c r="B6" s="5" t="s">
        <v>25</v>
      </c>
      <c r="C6" s="5" t="s">
        <v>26</v>
      </c>
      <c r="D6" s="5" t="s">
        <v>27</v>
      </c>
      <c r="E6" s="6">
        <v>46106</v>
      </c>
      <c r="F6" s="5">
        <v>60</v>
      </c>
      <c r="G6" s="5" t="s">
        <v>19</v>
      </c>
      <c r="H6" s="5"/>
      <c r="I6" t="str">
        <f t="shared" ca="1" si="0"/>
        <v/>
      </c>
    </row>
    <row r="7" spans="1:9" ht="28.8" x14ac:dyDescent="0.3">
      <c r="A7" s="5">
        <v>1006</v>
      </c>
      <c r="B7" s="5" t="s">
        <v>28</v>
      </c>
      <c r="C7" s="5" t="s">
        <v>17</v>
      </c>
      <c r="D7" s="5" t="s">
        <v>29</v>
      </c>
      <c r="E7" s="6">
        <v>46089</v>
      </c>
      <c r="F7" s="5">
        <v>45</v>
      </c>
      <c r="G7" s="5" t="s">
        <v>15</v>
      </c>
      <c r="H7" s="6">
        <v>46089</v>
      </c>
      <c r="I7" s="4" t="str">
        <f ca="1">IF(AND(G7="Pending",E7&lt;TODAY()),"Overdue","")</f>
        <v/>
      </c>
    </row>
    <row r="8" spans="1:9" ht="28.8" x14ac:dyDescent="0.3">
      <c r="A8" s="5">
        <v>1007</v>
      </c>
      <c r="B8" s="5" t="s">
        <v>30</v>
      </c>
      <c r="C8" s="5" t="s">
        <v>31</v>
      </c>
      <c r="D8" s="5" t="s">
        <v>32</v>
      </c>
      <c r="E8" s="6">
        <v>46101</v>
      </c>
      <c r="F8" s="5">
        <v>320</v>
      </c>
      <c r="G8" s="5" t="s">
        <v>19</v>
      </c>
      <c r="H8" s="6"/>
      <c r="I8" s="4" t="str">
        <f ca="1">IF(AND(G8="Pending",E8&lt;TODAY()),"Overdue","")</f>
        <v/>
      </c>
    </row>
    <row r="9" spans="1:9" ht="28.8" x14ac:dyDescent="0.3">
      <c r="A9" s="5">
        <v>1008</v>
      </c>
      <c r="B9" s="5" t="s">
        <v>33</v>
      </c>
      <c r="C9" s="5" t="s">
        <v>13</v>
      </c>
      <c r="D9" s="5" t="s">
        <v>34</v>
      </c>
      <c r="E9" s="6">
        <v>46083</v>
      </c>
      <c r="F9" s="5">
        <v>410</v>
      </c>
      <c r="G9" s="5" t="s">
        <v>19</v>
      </c>
      <c r="H9" s="6"/>
      <c r="I9" s="4" t="str">
        <f ca="1">IF(AND(G9="Pending",E9&lt;TODAY()),"Overdue","")</f>
        <v>Overdue</v>
      </c>
    </row>
    <row r="10" spans="1:9" ht="28.8" x14ac:dyDescent="0.3">
      <c r="A10" s="5">
        <v>1009</v>
      </c>
      <c r="B10" s="5" t="s">
        <v>35</v>
      </c>
      <c r="C10" s="5" t="s">
        <v>26</v>
      </c>
      <c r="D10" s="5" t="s">
        <v>36</v>
      </c>
      <c r="E10" s="6">
        <v>46109</v>
      </c>
      <c r="F10" s="5">
        <v>90</v>
      </c>
      <c r="G10" s="5" t="s">
        <v>19</v>
      </c>
      <c r="H10" s="6"/>
      <c r="I10" s="4" t="str">
        <f ca="1">IF(AND(G10="Pending",E10&lt;TODAY()),"Overdue","")</f>
        <v/>
      </c>
    </row>
  </sheetData>
  <conditionalFormatting sqref="E14:E1048576">
    <cfRule type="expression" dxfId="4" priority="4">
      <formula>AND($G15="Pending",$E15&lt;TODAY())</formula>
    </cfRule>
  </conditionalFormatting>
  <conditionalFormatting sqref="E1">
    <cfRule type="expression" dxfId="3" priority="8">
      <formula>AND(#REF!="Pending",#REF!&lt;TODAY())</formula>
    </cfRule>
  </conditionalFormatting>
  <conditionalFormatting sqref="G12:G1048576 G1:G10">
    <cfRule type="cellIs" dxfId="2" priority="2" operator="equal">
      <formula>"Pending"</formula>
    </cfRule>
    <cfRule type="cellIs" dxfId="1" priority="3" operator="equal">
      <formula>"Paid"</formula>
    </cfRule>
  </conditionalFormatting>
  <conditionalFormatting sqref="I12:I1048576 I1:I10">
    <cfRule type="cellIs" dxfId="0" priority="1" operator="equal">
      <formula>"Overdue"</formula>
    </cfRule>
  </conditionalFormatting>
  <dataValidations count="1">
    <dataValidation type="list" allowBlank="1" showInputMessage="1" showErrorMessage="1" sqref="G14:G1048576 G1:G10" xr:uid="{2CDB0DC7-0C56-4BD3-B7F9-D9245AFF39C5}">
      <formula1>" Pending,Paid"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00EE-07F9-43E0-BED8-4775F8526A6F}">
  <dimension ref="A1:C6"/>
  <sheetViews>
    <sheetView topLeftCell="A3" zoomScale="155" zoomScaleNormal="155"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3.5546875" bestFit="1" customWidth="1"/>
    <col min="4" max="4" width="11" customWidth="1"/>
    <col min="5" max="5" width="9.33203125" customWidth="1"/>
    <col min="8" max="8" width="13.33203125" customWidth="1"/>
  </cols>
  <sheetData>
    <row r="1" spans="1:3" s="1" customFormat="1" x14ac:dyDescent="0.3">
      <c r="A1"/>
      <c r="B1"/>
      <c r="C1"/>
    </row>
    <row r="3" spans="1:3" x14ac:dyDescent="0.3">
      <c r="A3" s="2" t="s">
        <v>9</v>
      </c>
      <c r="B3" t="s">
        <v>11</v>
      </c>
    </row>
    <row r="4" spans="1:3" x14ac:dyDescent="0.3">
      <c r="A4" s="3" t="s">
        <v>15</v>
      </c>
      <c r="B4" s="4">
        <v>320</v>
      </c>
    </row>
    <row r="5" spans="1:3" x14ac:dyDescent="0.3">
      <c r="A5" s="3" t="s">
        <v>19</v>
      </c>
      <c r="B5" s="4">
        <v>290</v>
      </c>
    </row>
    <row r="6" spans="1:3" x14ac:dyDescent="0.3">
      <c r="A6" s="3" t="s">
        <v>10</v>
      </c>
      <c r="B6" s="4">
        <v>610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CF9610-66CB-4F66-BFC4-303AE8F35B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tbl_payments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Goncalves de Souza - STUDENT</dc:creator>
  <cp:lastModifiedBy>Juliana Goncalves de Souza - STUDENT</cp:lastModifiedBy>
  <dcterms:created xsi:type="dcterms:W3CDTF">2026-03-03T11:48:23Z</dcterms:created>
  <dcterms:modified xsi:type="dcterms:W3CDTF">2026-03-04T15:51:44Z</dcterms:modified>
</cp:coreProperties>
</file>